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4" borderId="6" applyAlignment="1">
      <alignment vertical="center"/>
    </xf>
    <xf numFmtId="0" fontId="11" fillId="5" borderId="7" applyAlignment="1">
      <alignment vertical="center"/>
    </xf>
    <xf numFmtId="0" fontId="12" fillId="5" borderId="6" applyAlignment="1">
      <alignment vertical="center"/>
    </xf>
    <xf numFmtId="0" fontId="13" fillId="6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19"/>
  <sheetViews>
    <sheetView tabSelected="1" zoomScale="160" zoomScaleNormal="160" workbookViewId="0">
      <selection activeCell="K14" sqref="K14"/>
    </sheetView>
  </sheetViews>
  <sheetFormatPr baseColWidth="8" defaultColWidth="9" defaultRowHeight="14"/>
  <cols>
    <col width="12.2727272727273" customWidth="1" style="5" min="2" max="2"/>
  </cols>
  <sheetData>
    <row r="2" ht="14.75" customHeight="1" s="5"/>
    <row r="3" ht="28" customHeight="1" s="5">
      <c r="B3" s="1" t="inlineStr">
        <is>
          <t xml:space="preserve">      工件
原材料</t>
        </is>
      </c>
      <c r="C3" s="2" t="inlineStr">
        <is>
          <t>J01</t>
        </is>
      </c>
      <c r="D3" s="2" t="inlineStr">
        <is>
          <t>J02</t>
        </is>
      </c>
      <c r="E3" s="2" t="inlineStr">
        <is>
          <t>J03</t>
        </is>
      </c>
      <c r="F3" s="2" t="inlineStr">
        <is>
          <t>J04</t>
        </is>
      </c>
      <c r="G3" s="2" t="inlineStr">
        <is>
          <t>J05</t>
        </is>
      </c>
      <c r="H3" s="2" t="inlineStr">
        <is>
          <t>J06</t>
        </is>
      </c>
      <c r="I3" s="2" t="inlineStr">
        <is>
          <t>J07</t>
        </is>
      </c>
      <c r="J3" s="2" t="inlineStr">
        <is>
          <t>收益</t>
        </is>
      </c>
    </row>
    <row r="4" ht="17" customHeight="1" s="5">
      <c r="B4" s="2" t="inlineStr">
        <is>
          <t>L01</t>
        </is>
      </c>
      <c r="C4" s="3" t="n">
        <v>0</v>
      </c>
      <c r="D4" s="3" t="n">
        <v>0</v>
      </c>
      <c r="E4" s="3" t="n">
        <v>6</v>
      </c>
      <c r="F4" s="3" t="n">
        <v>12</v>
      </c>
      <c r="G4" s="3" t="n">
        <v>21</v>
      </c>
      <c r="H4" s="3" t="n">
        <v>4</v>
      </c>
      <c r="I4" s="3" t="n">
        <v>0</v>
      </c>
      <c r="J4" s="4">
        <f>C4*620+D4*780+E4*880+F4*1850+G4*2520+H4*1000+I4*540</f>
        <v/>
      </c>
    </row>
    <row r="5" ht="17" customHeight="1" s="5">
      <c r="B5" s="2" t="inlineStr">
        <is>
          <t>L01</t>
        </is>
      </c>
      <c r="C5" s="3" t="n">
        <v>0</v>
      </c>
      <c r="D5" s="3" t="n">
        <v>0</v>
      </c>
      <c r="E5" s="3" t="n">
        <v>6</v>
      </c>
      <c r="F5" s="3" t="n">
        <v>0</v>
      </c>
      <c r="G5" s="3" t="n">
        <v>21</v>
      </c>
      <c r="H5" s="3" t="n">
        <v>23</v>
      </c>
      <c r="I5" s="3" t="n">
        <v>4</v>
      </c>
      <c r="J5" s="4">
        <f>C5*620+D5*780+E5*880+F5*1850+G5*2520+H5*1000+I5*540</f>
        <v/>
      </c>
    </row>
    <row r="6" ht="17" customHeight="1" s="5">
      <c r="B6" s="2" t="inlineStr">
        <is>
          <t>L01</t>
        </is>
      </c>
      <c r="C6" s="3" t="n">
        <v>0</v>
      </c>
      <c r="D6" s="3" t="n">
        <v>5</v>
      </c>
      <c r="E6" s="3" t="n">
        <v>0</v>
      </c>
      <c r="F6" s="3" t="n">
        <v>10</v>
      </c>
      <c r="G6" s="3" t="n">
        <v>21</v>
      </c>
      <c r="H6" s="3" t="n">
        <v>2</v>
      </c>
      <c r="I6" s="3" t="n">
        <v>12</v>
      </c>
      <c r="J6" s="4">
        <f>C6*620+D6*780+E6*880+F6*1850+G6*2520+H6*1000+I6*540</f>
        <v/>
      </c>
    </row>
    <row r="7" ht="17" customHeight="1" s="5">
      <c r="B7" s="2" t="inlineStr">
        <is>
          <t>L01</t>
        </is>
      </c>
      <c r="C7" s="3" t="n">
        <v>0</v>
      </c>
      <c r="D7" s="3" t="n">
        <v>1</v>
      </c>
      <c r="E7" s="3" t="n">
        <v>2</v>
      </c>
      <c r="F7" s="3" t="n">
        <v>0</v>
      </c>
      <c r="G7" s="3" t="n">
        <v>23</v>
      </c>
      <c r="H7" s="3" t="n">
        <v>18</v>
      </c>
      <c r="I7" s="3" t="n">
        <v>16</v>
      </c>
      <c r="J7" s="4">
        <f>C7*620+D7*780+E7*880+F7*1850+G7*2520+H7*1000+I7*540</f>
        <v/>
      </c>
    </row>
    <row r="8" ht="17" customHeight="1" s="5">
      <c r="B8" s="2" t="inlineStr">
        <is>
          <t>L01</t>
        </is>
      </c>
      <c r="C8" s="3" t="n">
        <v>1</v>
      </c>
      <c r="D8" s="3" t="n">
        <v>3</v>
      </c>
      <c r="E8" s="3" t="n">
        <v>3</v>
      </c>
      <c r="F8" s="3" t="n">
        <v>1</v>
      </c>
      <c r="G8" s="3" t="n">
        <v>18</v>
      </c>
      <c r="H8" s="3" t="n">
        <v>0</v>
      </c>
      <c r="I8" s="3" t="n">
        <v>66</v>
      </c>
      <c r="J8" s="4">
        <f>C8*620+D8*780+E8*880+F8*1850+G8*2520+H8*1000+I8*540</f>
        <v/>
      </c>
    </row>
    <row r="9" ht="17" customHeight="1" s="5">
      <c r="B9" s="2" t="inlineStr">
        <is>
          <t>L02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9</v>
      </c>
      <c r="H9" s="3" t="n">
        <v>0</v>
      </c>
      <c r="I9" s="3" t="n">
        <v>30</v>
      </c>
      <c r="J9" s="4">
        <f>C9*620+D9*780+E9*880+F9*1850+G9*2520+H9*1000+I9*540</f>
        <v/>
      </c>
    </row>
    <row r="10" ht="17" customHeight="1" s="5">
      <c r="B10" s="2" t="inlineStr">
        <is>
          <t>L02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11</v>
      </c>
      <c r="H10" s="3" t="n">
        <v>0</v>
      </c>
      <c r="I10" s="3" t="n">
        <v>16</v>
      </c>
      <c r="J10" s="4">
        <f>C10*620+D10*780+E10*880+F10*1850+G10*2520+H10*1000+I10*540</f>
        <v/>
      </c>
    </row>
    <row r="11" ht="17" customHeight="1" s="5">
      <c r="B11" s="2" t="inlineStr">
        <is>
          <t>L02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6</v>
      </c>
      <c r="H11" s="3" t="n">
        <v>0</v>
      </c>
      <c r="I11" s="3" t="n">
        <v>37</v>
      </c>
      <c r="J11" s="4">
        <f>C11*620+D11*780+E11*880+F11*1850+G11*2520+H11*1000+I11*540</f>
        <v/>
      </c>
    </row>
    <row r="12" ht="17" customHeight="1" s="5">
      <c r="B12" s="2" t="inlineStr">
        <is>
          <t>L02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9</v>
      </c>
      <c r="H12" s="3" t="n">
        <v>0</v>
      </c>
      <c r="I12" s="3" t="n">
        <v>30</v>
      </c>
      <c r="J12" s="4">
        <f>C12*620+D12*780+E12*880+F12*1850+G12*2520+H12*1000+I12*540</f>
        <v/>
      </c>
    </row>
    <row r="13" ht="17" customHeight="1" s="5">
      <c r="B13" s="2" t="inlineStr">
        <is>
          <t>L02</t>
        </is>
      </c>
      <c r="C13" s="3" t="n">
        <v>10</v>
      </c>
      <c r="D13" s="3" t="n">
        <v>4</v>
      </c>
      <c r="E13" s="3" t="n">
        <v>0</v>
      </c>
      <c r="F13" s="3" t="n">
        <v>0</v>
      </c>
      <c r="G13" s="3" t="n">
        <v>8</v>
      </c>
      <c r="H13" s="3" t="n">
        <v>2</v>
      </c>
      <c r="I13" s="3" t="n">
        <v>8</v>
      </c>
      <c r="J13" s="4">
        <f>C13*620+D13*780+E13*880+F13*1850+G13*2520+H13*1000+I13*540</f>
        <v/>
      </c>
    </row>
    <row r="14" ht="17" customHeight="1" s="5">
      <c r="B14" s="2" t="inlineStr">
        <is>
          <t>L03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9</v>
      </c>
      <c r="H14" s="3" t="n">
        <v>1</v>
      </c>
      <c r="I14" s="3" t="n">
        <v>1</v>
      </c>
      <c r="J14" s="4">
        <f>C14*620+D14*780+E14*880+F14*1850+G14*2520+H14*1000+I14*540</f>
        <v/>
      </c>
    </row>
    <row r="15" ht="17" customHeight="1" s="5">
      <c r="B15" s="2" t="inlineStr">
        <is>
          <t>L03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6</v>
      </c>
      <c r="H15" s="3" t="n">
        <v>2</v>
      </c>
      <c r="I15" s="3" t="n">
        <v>10</v>
      </c>
      <c r="J15" s="4">
        <f>C15*620+D15*780+E15*880+F15*1850+G15*2520+H15*1000+I15*540</f>
        <v/>
      </c>
    </row>
    <row r="16" ht="17" customHeight="1" s="5">
      <c r="B16" s="2" t="inlineStr">
        <is>
          <t>L03</t>
        </is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6</v>
      </c>
      <c r="H16" s="3" t="n">
        <v>7</v>
      </c>
      <c r="I16" s="3" t="n">
        <v>0</v>
      </c>
      <c r="J16" s="4">
        <f>C16*620+D16*780+E16*880+F16*1850+G16*2520+H16*1000+I16*540</f>
        <v/>
      </c>
    </row>
    <row r="17" ht="17" customHeight="1" s="5">
      <c r="B17" s="2" t="inlineStr">
        <is>
          <t>L03</t>
        </is>
      </c>
      <c r="C17" s="3" t="n">
        <v>0</v>
      </c>
      <c r="D17" s="3" t="n">
        <v>0</v>
      </c>
      <c r="E17" s="3" t="n">
        <v>1</v>
      </c>
      <c r="F17" s="3" t="n">
        <v>0</v>
      </c>
      <c r="G17" s="3" t="n">
        <v>5</v>
      </c>
      <c r="H17" s="3" t="n">
        <v>6</v>
      </c>
      <c r="I17" s="3" t="n">
        <v>0</v>
      </c>
      <c r="J17" s="4">
        <f>C17*620+D17*780+E17*880+F17*1850+G17*2520+H17*1000+I17*540</f>
        <v/>
      </c>
    </row>
    <row r="18" ht="17" customHeight="1" s="5">
      <c r="B18" s="2" t="inlineStr">
        <is>
          <t>L03</t>
        </is>
      </c>
      <c r="C18" s="3" t="n">
        <v>0</v>
      </c>
      <c r="D18" s="3" t="n">
        <v>0</v>
      </c>
      <c r="E18" s="3" t="n">
        <v>3</v>
      </c>
      <c r="F18" s="3" t="n">
        <v>0</v>
      </c>
      <c r="G18" s="3" t="n">
        <v>7</v>
      </c>
      <c r="H18" s="3" t="n">
        <v>3</v>
      </c>
      <c r="I18" s="3" t="n">
        <v>0</v>
      </c>
      <c r="J18" s="4">
        <f>C18*620+D18*780+E18*880+F18*1850+G18*2520+H18*1000+I18*540</f>
        <v/>
      </c>
    </row>
    <row r="19">
      <c r="B19" s="2" t="inlineStr">
        <is>
          <t>总计</t>
        </is>
      </c>
      <c r="C19" s="2">
        <f>SUM(C4:C18)</f>
        <v/>
      </c>
      <c r="D19" s="2">
        <f>SUM(D4:D18)</f>
        <v/>
      </c>
      <c r="E19" s="2">
        <f>SUM(E4:E18)</f>
        <v/>
      </c>
      <c r="F19" s="2">
        <f>SUM(F4:F18)</f>
        <v/>
      </c>
      <c r="G19" s="2">
        <f>SUM(G4:G18)</f>
        <v/>
      </c>
      <c r="H19" s="2">
        <f>SUM(H4:H18)</f>
        <v/>
      </c>
      <c r="I19" s="2">
        <f>SUM(I4:I18)</f>
        <v/>
      </c>
      <c r="J19" s="2">
        <f>SUM(J4:J18)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子问题 2 求解结果 (v3 多策略两阶段 EMS + ILS)</t>
        </is>
      </c>
    </row>
    <row r="3">
      <c r="A3" t="inlineStr">
        <is>
          <t>总利润</t>
        </is>
      </c>
      <c r="B3" t="n">
        <v>727990</v>
      </c>
    </row>
    <row r="4">
      <c r="A4" t="inlineStr">
        <is>
          <t>材料利用率</t>
        </is>
      </c>
      <c r="B4" t="inlineStr">
        <is>
          <t>91.4112%</t>
        </is>
      </c>
    </row>
    <row r="5">
      <c r="A5" t="inlineStr">
        <is>
          <t>总工件数</t>
        </is>
      </c>
      <c r="B5" t="n">
        <v>551</v>
      </c>
    </row>
    <row r="6">
      <c r="A6" t="inlineStr">
        <is>
          <t>已用体积</t>
        </is>
      </c>
      <c r="B6" t="n">
        <v>69244000</v>
      </c>
    </row>
    <row r="7">
      <c r="A7" t="inlineStr">
        <is>
          <t>废料体积</t>
        </is>
      </c>
      <c r="B7" t="n">
        <v>6506000</v>
      </c>
    </row>
    <row r="8">
      <c r="A8" t="inlineStr">
        <is>
          <t>理论利润上界</t>
        </is>
      </c>
      <c r="B8" t="n">
        <v>843840</v>
      </c>
    </row>
    <row r="9">
      <c r="A9" t="inlineStr">
        <is>
          <t>占上界比例</t>
        </is>
      </c>
      <c r="B9" t="inlineStr">
        <is>
          <t>86.2711%</t>
        </is>
      </c>
    </row>
    <row r="10">
      <c r="A10" t="inlineStr">
        <is>
          <t>耗时 (秒)</t>
        </is>
      </c>
      <c r="B10" t="inlineStr">
        <is>
          <t>108.7</t>
        </is>
      </c>
    </row>
    <row r="12">
      <c r="A12" t="inlineStr">
        <is>
          <t>工件产量明细</t>
        </is>
      </c>
    </row>
    <row r="13">
      <c r="A13" t="inlineStr">
        <is>
          <t>工件</t>
        </is>
      </c>
      <c r="B13" t="inlineStr">
        <is>
          <t>数量</t>
        </is>
      </c>
      <c r="C13" t="inlineStr">
        <is>
          <t>满足 ≥10?</t>
        </is>
      </c>
    </row>
    <row r="14">
      <c r="A14" t="inlineStr">
        <is>
          <t>J01</t>
        </is>
      </c>
      <c r="B14" t="n">
        <v>11</v>
      </c>
      <c r="C14" t="inlineStr">
        <is>
          <t>是</t>
        </is>
      </c>
    </row>
    <row r="15">
      <c r="A15" t="inlineStr">
        <is>
          <t>J02</t>
        </is>
      </c>
      <c r="B15" t="n">
        <v>15</v>
      </c>
      <c r="C15" t="inlineStr">
        <is>
          <t>是</t>
        </is>
      </c>
    </row>
    <row r="16">
      <c r="A16" t="inlineStr">
        <is>
          <t>J03</t>
        </is>
      </c>
      <c r="B16" t="n">
        <v>24</v>
      </c>
      <c r="C16" t="inlineStr">
        <is>
          <t>是</t>
        </is>
      </c>
    </row>
    <row r="17">
      <c r="A17" t="inlineStr">
        <is>
          <t>J04</t>
        </is>
      </c>
      <c r="B17" t="n">
        <v>23</v>
      </c>
      <c r="C17" t="inlineStr">
        <is>
          <t>是</t>
        </is>
      </c>
    </row>
    <row r="18">
      <c r="A18" t="inlineStr">
        <is>
          <t>J05</t>
        </is>
      </c>
      <c r="B18" t="n">
        <v>180</v>
      </c>
      <c r="C18" t="inlineStr">
        <is>
          <t>是</t>
        </is>
      </c>
    </row>
    <row r="19">
      <c r="A19" t="inlineStr">
        <is>
          <t>J06</t>
        </is>
      </c>
      <c r="B19" t="n">
        <v>68</v>
      </c>
      <c r="C19" t="inlineStr">
        <is>
          <t>是</t>
        </is>
      </c>
    </row>
    <row r="20">
      <c r="A20" t="inlineStr">
        <is>
          <t>J07</t>
        </is>
      </c>
      <c r="B20" t="n">
        <v>230</v>
      </c>
      <c r="C20" t="inlineStr">
        <is>
          <t>是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2026-05-31T02:28:13Z</dcterms:modified>
  <cp:lastModifiedBy>L＆H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1C5DABDB1B5345289213777BBE18C978_12</vt:lpwstr>
  </property>
  <property name="CalculationRule" fmtid="{D5CDD505-2E9C-101B-9397-08002B2CF9AE}" pid="4">
    <vt:i4 xmlns:vt="http://schemas.openxmlformats.org/officeDocument/2006/docPropsVTypes">0</vt:i4>
  </property>
</Properties>
</file>